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9e5fd24eb0a99d/Documents/"/>
    </mc:Choice>
  </mc:AlternateContent>
  <xr:revisionPtr revIDLastSave="0" documentId="8_{B932DE22-6835-4ADC-BF47-FD22C07F96D4}" xr6:coauthVersionLast="47" xr6:coauthVersionMax="47" xr10:uidLastSave="{00000000-0000-0000-0000-000000000000}"/>
  <bookViews>
    <workbookView xWindow="0" yWindow="500" windowWidth="28800" windowHeight="15460" xr2:uid="{7498E92C-12B6-334C-B0B7-59734882D20F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" i="1" l="1"/>
  <c r="L22" i="1"/>
  <c r="I22" i="1"/>
  <c r="F22" i="1"/>
  <c r="C22" i="1"/>
  <c r="B4" i="1"/>
  <c r="C10" i="1"/>
  <c r="C11" i="1" s="1"/>
  <c r="C12" i="1" s="1"/>
  <c r="P8" i="1"/>
  <c r="B31" i="1"/>
  <c r="D74" i="1"/>
  <c r="B74" i="1"/>
  <c r="D59" i="1"/>
  <c r="C45" i="1"/>
  <c r="N37" i="1"/>
  <c r="N46" i="1" s="1"/>
  <c r="M37" i="1"/>
  <c r="M46" i="1" s="1"/>
  <c r="L37" i="1"/>
  <c r="L46" i="1" s="1"/>
  <c r="K37" i="1"/>
  <c r="K46" i="1" s="1"/>
  <c r="J37" i="1"/>
  <c r="J46" i="1" s="1"/>
  <c r="I37" i="1"/>
  <c r="I46" i="1" s="1"/>
  <c r="H37" i="1"/>
  <c r="H46" i="1" s="1"/>
  <c r="G37" i="1"/>
  <c r="G46" i="1" s="1"/>
  <c r="F37" i="1"/>
  <c r="F46" i="1" s="1"/>
  <c r="E37" i="1"/>
  <c r="E46" i="1" s="1"/>
  <c r="D37" i="1"/>
  <c r="D46" i="1" s="1"/>
  <c r="C37" i="1"/>
  <c r="C46" i="1" s="1"/>
  <c r="N27" i="1"/>
  <c r="M27" i="1"/>
  <c r="L27" i="1"/>
  <c r="K27" i="1"/>
  <c r="J27" i="1"/>
  <c r="I27" i="1"/>
  <c r="H27" i="1"/>
  <c r="G27" i="1"/>
  <c r="F27" i="1"/>
  <c r="E27" i="1"/>
  <c r="D27" i="1"/>
  <c r="C27" i="1"/>
  <c r="N26" i="1"/>
  <c r="M26" i="1"/>
  <c r="L26" i="1"/>
  <c r="K26" i="1"/>
  <c r="J26" i="1"/>
  <c r="I26" i="1"/>
  <c r="H26" i="1"/>
  <c r="G26" i="1"/>
  <c r="F26" i="1"/>
  <c r="E26" i="1"/>
  <c r="D26" i="1"/>
  <c r="C26" i="1"/>
  <c r="N24" i="1"/>
  <c r="M24" i="1"/>
  <c r="L24" i="1"/>
  <c r="K24" i="1"/>
  <c r="J24" i="1"/>
  <c r="I24" i="1"/>
  <c r="H24" i="1"/>
  <c r="G24" i="1"/>
  <c r="F24" i="1"/>
  <c r="E24" i="1"/>
  <c r="D24" i="1"/>
  <c r="C24" i="1"/>
  <c r="N23" i="1"/>
  <c r="M23" i="1"/>
  <c r="L23" i="1"/>
  <c r="K23" i="1"/>
  <c r="J23" i="1"/>
  <c r="I23" i="1"/>
  <c r="H23" i="1"/>
  <c r="G23" i="1"/>
  <c r="F23" i="1"/>
  <c r="E23" i="1"/>
  <c r="D23" i="1"/>
  <c r="C23" i="1"/>
  <c r="M31" i="1"/>
  <c r="M40" i="1" s="1"/>
  <c r="B25" i="1"/>
  <c r="B28" i="1" s="1"/>
  <c r="N30" i="1" s="1"/>
  <c r="D9" i="1"/>
  <c r="D10" i="1" s="1"/>
  <c r="E9" i="1"/>
  <c r="E10" i="1" s="1"/>
  <c r="F9" i="1"/>
  <c r="F10" i="1" s="1"/>
  <c r="G9" i="1"/>
  <c r="G10" i="1" s="1"/>
  <c r="H9" i="1"/>
  <c r="H10" i="1" s="1"/>
  <c r="I9" i="1"/>
  <c r="I10" i="1" s="1"/>
  <c r="J9" i="1"/>
  <c r="J10" i="1" s="1"/>
  <c r="K9" i="1"/>
  <c r="K10" i="1" s="1"/>
  <c r="L9" i="1"/>
  <c r="L10" i="1" s="1"/>
  <c r="M9" i="1"/>
  <c r="M10" i="1" s="1"/>
  <c r="N9" i="1"/>
  <c r="N10" i="1" s="1"/>
  <c r="C9" i="1"/>
  <c r="C47" i="1" l="1"/>
  <c r="C52" i="1" s="1"/>
  <c r="N31" i="1"/>
  <c r="N40" i="1" s="1"/>
  <c r="C18" i="1"/>
  <c r="G11" i="1"/>
  <c r="G12" i="1" s="1"/>
  <c r="G18" i="1" s="1"/>
  <c r="G51" i="1" s="1"/>
  <c r="G30" i="1"/>
  <c r="H31" i="1"/>
  <c r="H40" i="1" s="1"/>
  <c r="F25" i="1"/>
  <c r="G31" i="1"/>
  <c r="G40" i="1" s="1"/>
  <c r="I31" i="1"/>
  <c r="I40" i="1" s="1"/>
  <c r="H30" i="1"/>
  <c r="G25" i="1"/>
  <c r="I30" i="1"/>
  <c r="H25" i="1"/>
  <c r="F31" i="1"/>
  <c r="F40" i="1" s="1"/>
  <c r="D30" i="1"/>
  <c r="N25" i="1"/>
  <c r="J30" i="1"/>
  <c r="I25" i="1"/>
  <c r="J31" i="1"/>
  <c r="J40" i="1" s="1"/>
  <c r="K30" i="1"/>
  <c r="K31" i="1"/>
  <c r="K40" i="1" s="1"/>
  <c r="C30" i="1"/>
  <c r="L30" i="1"/>
  <c r="C25" i="1"/>
  <c r="K25" i="1"/>
  <c r="D31" i="1"/>
  <c r="D40" i="1" s="1"/>
  <c r="L31" i="1"/>
  <c r="L40" i="1" s="1"/>
  <c r="E30" i="1"/>
  <c r="M30" i="1"/>
  <c r="D25" i="1"/>
  <c r="L25" i="1"/>
  <c r="J25" i="1"/>
  <c r="C31" i="1"/>
  <c r="C40" i="1" s="1"/>
  <c r="E31" i="1"/>
  <c r="E40" i="1" s="1"/>
  <c r="F30" i="1"/>
  <c r="E25" i="1"/>
  <c r="M25" i="1"/>
  <c r="B32" i="1"/>
  <c r="L11" i="1"/>
  <c r="L12" i="1" s="1"/>
  <c r="L18" i="1" s="1"/>
  <c r="L51" i="1" s="1"/>
  <c r="E11" i="1"/>
  <c r="E12" i="1" s="1"/>
  <c r="E18" i="1" s="1"/>
  <c r="E51" i="1" s="1"/>
  <c r="M11" i="1"/>
  <c r="M12" i="1" s="1"/>
  <c r="M18" i="1" s="1"/>
  <c r="M51" i="1" s="1"/>
  <c r="F11" i="1"/>
  <c r="F12" i="1" s="1"/>
  <c r="F18" i="1" s="1"/>
  <c r="F51" i="1" s="1"/>
  <c r="N11" i="1"/>
  <c r="N12" i="1" s="1"/>
  <c r="N18" i="1" s="1"/>
  <c r="N51" i="1" s="1"/>
  <c r="D11" i="1"/>
  <c r="D12" i="1" s="1"/>
  <c r="D18" i="1" s="1"/>
  <c r="D51" i="1" s="1"/>
  <c r="I11" i="1"/>
  <c r="I12" i="1" s="1"/>
  <c r="I18" i="1" s="1"/>
  <c r="I51" i="1" s="1"/>
  <c r="J11" i="1"/>
  <c r="J12" i="1" s="1"/>
  <c r="J18" i="1" s="1"/>
  <c r="J51" i="1" s="1"/>
  <c r="H11" i="1"/>
  <c r="H12" i="1" s="1"/>
  <c r="H18" i="1" s="1"/>
  <c r="H51" i="1" s="1"/>
  <c r="K11" i="1"/>
  <c r="K12" i="1" s="1"/>
  <c r="K18" i="1" s="1"/>
  <c r="K51" i="1" s="1"/>
  <c r="C51" i="1" l="1"/>
  <c r="C53" i="1" s="1"/>
  <c r="O18" i="1"/>
  <c r="P30" i="1"/>
  <c r="B73" i="1" s="1"/>
  <c r="D73" i="1"/>
  <c r="D79" i="1" s="1"/>
  <c r="B78" i="1" s="1"/>
  <c r="I32" i="1"/>
  <c r="G32" i="1"/>
  <c r="F32" i="1"/>
  <c r="H32" i="1"/>
  <c r="N32" i="1"/>
  <c r="E32" i="1"/>
  <c r="E41" i="1" s="1"/>
  <c r="E42" i="1" s="1"/>
  <c r="L32" i="1"/>
  <c r="D32" i="1"/>
  <c r="D41" i="1" s="1"/>
  <c r="D42" i="1" s="1"/>
  <c r="K32" i="1"/>
  <c r="J32" i="1"/>
  <c r="M32" i="1"/>
  <c r="M41" i="1" s="1"/>
  <c r="M42" i="1" s="1"/>
  <c r="C32" i="1"/>
  <c r="C41" i="1" s="1"/>
  <c r="C42" i="1" s="1"/>
  <c r="M33" i="1"/>
  <c r="M45" i="1" s="1"/>
  <c r="M47" i="1" s="1"/>
  <c r="M52" i="1" s="1"/>
  <c r="M53" i="1" s="1"/>
  <c r="O10" i="1"/>
  <c r="E33" i="1" l="1"/>
  <c r="E45" i="1" s="1"/>
  <c r="E47" i="1" s="1"/>
  <c r="E52" i="1" s="1"/>
  <c r="E53" i="1" s="1"/>
  <c r="N33" i="1"/>
  <c r="N45" i="1" s="1"/>
  <c r="N47" i="1" s="1"/>
  <c r="N52" i="1" s="1"/>
  <c r="N53" i="1" s="1"/>
  <c r="N41" i="1"/>
  <c r="N42" i="1" s="1"/>
  <c r="I33" i="1"/>
  <c r="I45" i="1" s="1"/>
  <c r="I47" i="1" s="1"/>
  <c r="I52" i="1" s="1"/>
  <c r="I53" i="1" s="1"/>
  <c r="I41" i="1"/>
  <c r="I42" i="1" s="1"/>
  <c r="G33" i="1"/>
  <c r="G41" i="1"/>
  <c r="G42" i="1" s="1"/>
  <c r="D33" i="1"/>
  <c r="D45" i="1" s="1"/>
  <c r="D47" i="1" s="1"/>
  <c r="D52" i="1" s="1"/>
  <c r="D53" i="1" s="1"/>
  <c r="H33" i="1"/>
  <c r="H45" i="1" s="1"/>
  <c r="H47" i="1" s="1"/>
  <c r="H52" i="1" s="1"/>
  <c r="H53" i="1" s="1"/>
  <c r="H41" i="1"/>
  <c r="H42" i="1" s="1"/>
  <c r="F33" i="1"/>
  <c r="F45" i="1" s="1"/>
  <c r="F47" i="1" s="1"/>
  <c r="F52" i="1" s="1"/>
  <c r="F53" i="1" s="1"/>
  <c r="F41" i="1"/>
  <c r="F42" i="1" s="1"/>
  <c r="J33" i="1"/>
  <c r="J45" i="1" s="1"/>
  <c r="J47" i="1" s="1"/>
  <c r="J52" i="1" s="1"/>
  <c r="J53" i="1" s="1"/>
  <c r="J41" i="1"/>
  <c r="J42" i="1" s="1"/>
  <c r="K33" i="1"/>
  <c r="K45" i="1" s="1"/>
  <c r="K47" i="1" s="1"/>
  <c r="K52" i="1" s="1"/>
  <c r="K53" i="1" s="1"/>
  <c r="K41" i="1"/>
  <c r="K42" i="1" s="1"/>
  <c r="L33" i="1"/>
  <c r="L45" i="1" s="1"/>
  <c r="L47" i="1" s="1"/>
  <c r="L52" i="1" s="1"/>
  <c r="L53" i="1" s="1"/>
  <c r="L41" i="1"/>
  <c r="L42" i="1" s="1"/>
  <c r="P42" i="1" l="1"/>
  <c r="B65" i="1" s="1"/>
  <c r="G45" i="1"/>
  <c r="G47" i="1" s="1"/>
  <c r="G52" i="1" s="1"/>
  <c r="G53" i="1" s="1"/>
  <c r="P53" i="1"/>
  <c r="B66" i="1" s="1"/>
  <c r="B67" i="1" s="1"/>
  <c r="D61" i="1" s="1"/>
  <c r="D67" i="1" s="1"/>
  <c r="G67" i="1" s="1"/>
  <c r="B79" i="1"/>
  <c r="G79" i="1" s="1"/>
</calcChain>
</file>

<file path=xl/sharedStrings.xml><?xml version="1.0" encoding="utf-8"?>
<sst xmlns="http://schemas.openxmlformats.org/spreadsheetml/2006/main" count="178" uniqueCount="90">
  <si>
    <t>Prix de la box HT :</t>
  </si>
  <si>
    <t>Prix de la box TTC :</t>
  </si>
  <si>
    <t>Ventes (HT)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</si>
  <si>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</si>
  <si>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</si>
  <si>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</si>
  <si>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</si>
  <si>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</si>
  <si>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</si>
  <si>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</si>
  <si>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</si>
  <si>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</si>
  <si>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</si>
  <si>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</si>
  <si>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</si>
  <si>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 xml:space="preserve">CR prévisionnel </t>
  </si>
  <si>
    <t xml:space="preserve">Bilan prévisionnel </t>
  </si>
  <si>
    <t xml:space="preserve">Nombre de box vendue par livraison </t>
  </si>
  <si>
    <t>Nombre total de box vendue</t>
  </si>
  <si>
    <t>Ventes HT</t>
  </si>
  <si>
    <t xml:space="preserve">TVA collectée (20%) </t>
  </si>
  <si>
    <t>Ventes TTC</t>
  </si>
  <si>
    <t>Encaissements (TTC)</t>
  </si>
  <si>
    <t xml:space="preserve">Ventes TTC </t>
  </si>
  <si>
    <t>on commande pour 40 kg les 3 premiers mois</t>
  </si>
  <si>
    <t>On commande 50kg les 3 mois après</t>
  </si>
  <si>
    <t>on commande 35kg les 3 mois après</t>
  </si>
  <si>
    <t>On commande 60kg de farine les 3 derniers mois</t>
  </si>
  <si>
    <t xml:space="preserve">Charges variables </t>
  </si>
  <si>
    <t>Farine (par box)</t>
  </si>
  <si>
    <t>de charge de farine</t>
  </si>
  <si>
    <t>Sucre (par box)</t>
  </si>
  <si>
    <t>de charge de sucre</t>
  </si>
  <si>
    <t xml:space="preserve">Packaging (par box) </t>
  </si>
  <si>
    <t xml:space="preserve">Emportes pièces (4 unité par box) </t>
  </si>
  <si>
    <t>Flyer (par box)</t>
  </si>
  <si>
    <t>Recette (par box)</t>
  </si>
  <si>
    <t>Ensemble des ingrédients de la box</t>
  </si>
  <si>
    <t>Total de charges variables</t>
  </si>
  <si>
    <t>TVA déductible 5,5%</t>
  </si>
  <si>
    <t>TVA déductible 20%</t>
  </si>
  <si>
    <t>TOTAL TTC</t>
  </si>
  <si>
    <r>
      <t>Charges fixes</t>
    </r>
    <r>
      <rPr>
        <sz val="12"/>
        <color theme="5" tint="-0.249977111117893"/>
        <rFont val="Calibri"/>
        <family val="2"/>
        <scheme val="minor"/>
      </rPr>
      <t xml:space="preserve"> - Non soumis à la TVA</t>
    </r>
  </si>
  <si>
    <t xml:space="preserve">Frais de publicité sur Facebook </t>
  </si>
  <si>
    <t>Total TTC</t>
  </si>
  <si>
    <t>Budget de TVA</t>
  </si>
  <si>
    <t>TVA déductible (charges variables)  / 5,5%</t>
  </si>
  <si>
    <t>TVA déductible (charges variables)  / 20%</t>
  </si>
  <si>
    <t>Total TVA déductible</t>
  </si>
  <si>
    <t>Budget des décaissements</t>
  </si>
  <si>
    <t>Charges variables</t>
  </si>
  <si>
    <t>Charges fixes non soumise à la TVA</t>
  </si>
  <si>
    <t>Total des décaissements</t>
  </si>
  <si>
    <t xml:space="preserve">Budget de trésorerie </t>
  </si>
  <si>
    <t xml:space="preserve">Solde initial Trésorerie </t>
  </si>
  <si>
    <t>Encaissements</t>
  </si>
  <si>
    <t>Décaissements</t>
  </si>
  <si>
    <t>Solde final Trésorerie</t>
  </si>
  <si>
    <t>Bilan prévisionnel au 01/01/2026</t>
  </si>
  <si>
    <t>Actif</t>
  </si>
  <si>
    <t>Passif</t>
  </si>
  <si>
    <t>Actif immobilisé</t>
  </si>
  <si>
    <t>Capitaux propres</t>
  </si>
  <si>
    <t>Immobilisations brutes</t>
  </si>
  <si>
    <t>Capital</t>
  </si>
  <si>
    <t>Amortissements</t>
  </si>
  <si>
    <t>Réserves</t>
  </si>
  <si>
    <t>Immobilisations nettes</t>
  </si>
  <si>
    <t>Résultat</t>
  </si>
  <si>
    <t>Actif circulant</t>
  </si>
  <si>
    <t>Dettes</t>
  </si>
  <si>
    <t>Stocks matières premières</t>
  </si>
  <si>
    <t>Emprunt</t>
  </si>
  <si>
    <t>Clients</t>
  </si>
  <si>
    <t>Dettes fournisseurs</t>
  </si>
  <si>
    <t>Créances diverses</t>
  </si>
  <si>
    <t>Disponibilité</t>
  </si>
  <si>
    <t>TOTAL</t>
  </si>
  <si>
    <t xml:space="preserve">Écart de : </t>
  </si>
  <si>
    <t>Compte de résultat au 01/01/2026</t>
  </si>
  <si>
    <t>Charges</t>
  </si>
  <si>
    <t>Produits</t>
  </si>
  <si>
    <t>Achats</t>
  </si>
  <si>
    <t>Ventes</t>
  </si>
  <si>
    <t>Variration des stocks</t>
  </si>
  <si>
    <t>Autres charges</t>
  </si>
  <si>
    <t>Charges de personnel</t>
  </si>
  <si>
    <t>Charges financières</t>
  </si>
  <si>
    <t>Bénéfice</t>
  </si>
  <si>
    <t>Perte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</si>
</sst>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)\ &quot;€&quot;_ ;_ * \(#,##0.00\)\ &quot;€&quot;_ ;_ * &quot;-&quot;??_)\ &quot;€&quot;_ ;_ @_ "/>
    <numFmt numFmtId="165" formatCode="_-* #,##0.00\ [$€-40C]_-;\-* #,##0.00\ [$€-40C]_-;_-* &quot;-&quot;??\ [$€-40C]_-;_-@_-"/>
  </numFmts>
  <fonts count="1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 (Corps)"/>
    </font>
    <font>
      <i/>
      <sz val="12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9"/>
      <name val="Calibri"/>
      <family val="2"/>
      <scheme val="minor"/>
    </font>
    <font>
      <sz val="12"/>
      <color theme="8"/>
      <name val="Calibri"/>
      <family val="2"/>
      <scheme val="minor"/>
    </font>
    <font>
      <sz val="12"/>
      <color theme="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0" fillId="2" borderId="1" xfId="0" applyFill="1" applyBorder="1"/>
    <xf numFmtId="2" fontId="0" fillId="0" borderId="0" xfId="0" applyNumberFormat="1"/>
    <xf numFmtId="0" fontId="4" fillId="0" borderId="0" xfId="0" applyFont="1"/>
    <xf numFmtId="0" fontId="6" fillId="0" borderId="0" xfId="0" applyFont="1"/>
    <xf numFmtId="0" fontId="0" fillId="0" borderId="1" xfId="0" applyBorder="1"/>
    <xf numFmtId="0" fontId="1" fillId="0" borderId="1" xfId="0" applyFont="1" applyBorder="1"/>
    <xf numFmtId="2" fontId="0" fillId="0" borderId="1" xfId="0" applyNumberFormat="1" applyBorder="1"/>
    <xf numFmtId="0" fontId="5" fillId="0" borderId="1" xfId="0" applyFont="1" applyBorder="1"/>
    <xf numFmtId="164" fontId="5" fillId="0" borderId="1" xfId="1" applyFont="1" applyFill="1" applyBorder="1"/>
    <xf numFmtId="164" fontId="0" fillId="0" borderId="1" xfId="0" applyNumberFormat="1" applyBorder="1"/>
    <xf numFmtId="164" fontId="0" fillId="0" borderId="1" xfId="1" applyFont="1" applyBorder="1"/>
    <xf numFmtId="164" fontId="0" fillId="0" borderId="0" xfId="1" applyFont="1" applyBorder="1"/>
    <xf numFmtId="164" fontId="1" fillId="0" borderId="1" xfId="1" applyFont="1" applyBorder="1"/>
    <xf numFmtId="164" fontId="0" fillId="0" borderId="0" xfId="0" applyNumberFormat="1"/>
    <xf numFmtId="165" fontId="0" fillId="0" borderId="1" xfId="0" applyNumberFormat="1" applyBorder="1"/>
    <xf numFmtId="164" fontId="1" fillId="2" borderId="1" xfId="1" applyFont="1" applyFill="1" applyBorder="1"/>
    <xf numFmtId="0" fontId="8" fillId="0" borderId="0" xfId="0" applyFont="1"/>
    <xf numFmtId="164" fontId="8" fillId="0" borderId="1" xfId="0" applyNumberFormat="1" applyFont="1" applyBorder="1"/>
    <xf numFmtId="0" fontId="9" fillId="0" borderId="0" xfId="0" applyFont="1"/>
    <xf numFmtId="164" fontId="9" fillId="0" borderId="1" xfId="0" applyNumberFormat="1" applyFont="1" applyBorder="1"/>
    <xf numFmtId="0" fontId="10" fillId="0" borderId="0" xfId="0" applyFont="1"/>
    <xf numFmtId="164" fontId="10" fillId="0" borderId="1" xfId="0" applyNumberFormat="1" applyFont="1" applyBorder="1"/>
    <xf numFmtId="164" fontId="11" fillId="0" borderId="1" xfId="0" applyNumberFormat="1" applyFont="1" applyBorder="1"/>
    <xf numFmtId="0" fontId="11" fillId="0" borderId="0" xfId="0" applyFont="1"/>
    <xf numFmtId="164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C3F29-745B-ED48-BCB9-3B388BA2F1F5}">
  <dimension ref="A1:Q79"/>
  <sheetViews>
    <sheetView tabSelected="1" topLeftCell="I4" zoomScale="102" workbookViewId="0">
      <selection activeCell="Q24" sqref="Q24"/>
    </sheetView>
  </sheetViews>
  <sheetFormatPr defaultColWidth="11" defaultRowHeight="15.95"/>
  <cols>
    <col min="1" max="1" width="36" customWidth="1"/>
    <col min="2" max="2" width="15.625" bestFit="1" customWidth="1"/>
    <col min="3" max="3" width="14.5" customWidth="1"/>
    <col min="4" max="4" width="12.625" customWidth="1"/>
    <col min="7" max="7" width="11.875" bestFit="1" customWidth="1"/>
    <col min="15" max="16" width="17.5" customWidth="1"/>
  </cols>
  <sheetData>
    <row r="1" spans="1:16">
      <c r="A1" s="4"/>
    </row>
    <row r="3" spans="1:16">
      <c r="A3" s="7" t="s">
        <v>0</v>
      </c>
      <c r="B3" s="17">
        <v>19.16</v>
      </c>
    </row>
    <row r="4" spans="1:16">
      <c r="A4" s="7" t="s">
        <v>1</v>
      </c>
      <c r="B4" s="14">
        <f>B3*1.2</f>
        <v>22.992000000000001</v>
      </c>
    </row>
    <row r="5" spans="1:16">
      <c r="C5" s="3"/>
    </row>
    <row r="7" spans="1:16">
      <c r="A7" s="5" t="s">
        <v>2</v>
      </c>
      <c r="B7" s="1"/>
      <c r="C7" s="7" t="s">
        <v>3</v>
      </c>
      <c r="D7" s="7" t="s">
        <v>4</v>
      </c>
      <c r="E7" s="7" t="s">
        <v>5</v>
      </c>
      <c r="F7" s="7" t="s">
        <v>6</v>
      </c>
      <c r="G7" s="7" t="s">
        <v>7</v>
      </c>
      <c r="H7" s="7" t="s">
        <v>8</v>
      </c>
      <c r="I7" s="7" t="s">
        <v>9</v>
      </c>
      <c r="J7" s="7" t="s">
        <v>10</v>
      </c>
      <c r="K7" s="7" t="s">
        <v>11</v>
      </c>
      <c r="L7" s="7" t="s">
        <v>12</v>
      </c>
      <c r="M7" s="7" t="s">
        <v>13</v>
      </c>
      <c r="N7" s="7" t="s">
        <v>14</v>
      </c>
      <c r="O7" s="7" t="s">
        <v>15</v>
      </c>
      <c r="P7" s="7" t="s">
        <v>16</v>
      </c>
    </row>
    <row r="8" spans="1:16">
      <c r="A8" s="6" t="s">
        <v>17</v>
      </c>
      <c r="B8" s="6"/>
      <c r="C8" s="2">
        <v>25</v>
      </c>
      <c r="D8" s="2">
        <v>40</v>
      </c>
      <c r="E8" s="2">
        <v>30</v>
      </c>
      <c r="F8" s="2">
        <v>45</v>
      </c>
      <c r="G8" s="2">
        <v>30</v>
      </c>
      <c r="H8" s="2">
        <v>40</v>
      </c>
      <c r="I8" s="2">
        <v>20</v>
      </c>
      <c r="J8" s="2">
        <v>35</v>
      </c>
      <c r="K8" s="2">
        <v>35</v>
      </c>
      <c r="L8" s="2">
        <v>50</v>
      </c>
      <c r="M8" s="2">
        <v>40</v>
      </c>
      <c r="N8" s="2">
        <v>60</v>
      </c>
      <c r="O8" s="6"/>
      <c r="P8" s="6">
        <f>SUM(C8:N8)</f>
        <v>450</v>
      </c>
    </row>
    <row r="9" spans="1:16">
      <c r="A9" s="7" t="s">
        <v>18</v>
      </c>
      <c r="B9" s="7"/>
      <c r="C9" s="6">
        <f t="shared" ref="C9:N9" si="0">SUM(C8:C8)</f>
        <v>25</v>
      </c>
      <c r="D9" s="6">
        <f t="shared" si="0"/>
        <v>40</v>
      </c>
      <c r="E9" s="6">
        <f t="shared" si="0"/>
        <v>30</v>
      </c>
      <c r="F9" s="6">
        <f t="shared" si="0"/>
        <v>45</v>
      </c>
      <c r="G9" s="6">
        <f t="shared" si="0"/>
        <v>30</v>
      </c>
      <c r="H9" s="6">
        <f t="shared" si="0"/>
        <v>40</v>
      </c>
      <c r="I9" s="6">
        <f t="shared" si="0"/>
        <v>20</v>
      </c>
      <c r="J9" s="6">
        <f t="shared" si="0"/>
        <v>35</v>
      </c>
      <c r="K9" s="6">
        <f t="shared" si="0"/>
        <v>35</v>
      </c>
      <c r="L9" s="6">
        <f t="shared" si="0"/>
        <v>50</v>
      </c>
      <c r="M9" s="6">
        <f t="shared" si="0"/>
        <v>40</v>
      </c>
      <c r="N9" s="6">
        <f t="shared" si="0"/>
        <v>60</v>
      </c>
      <c r="O9" s="6"/>
      <c r="P9" s="6"/>
    </row>
    <row r="10" spans="1:16">
      <c r="A10" s="6" t="s">
        <v>19</v>
      </c>
      <c r="B10" s="6"/>
      <c r="C10" s="11">
        <f>C9*$B$3</f>
        <v>479</v>
      </c>
      <c r="D10" s="11">
        <f t="shared" ref="D10:N10" si="1">D9*$B$3</f>
        <v>766.4</v>
      </c>
      <c r="E10" s="11">
        <f t="shared" si="1"/>
        <v>574.79999999999995</v>
      </c>
      <c r="F10" s="11">
        <f t="shared" si="1"/>
        <v>862.2</v>
      </c>
      <c r="G10" s="11">
        <f t="shared" si="1"/>
        <v>574.79999999999995</v>
      </c>
      <c r="H10" s="11">
        <f t="shared" si="1"/>
        <v>766.4</v>
      </c>
      <c r="I10" s="11">
        <f t="shared" si="1"/>
        <v>383.2</v>
      </c>
      <c r="J10" s="11">
        <f t="shared" si="1"/>
        <v>670.6</v>
      </c>
      <c r="K10" s="11">
        <f t="shared" si="1"/>
        <v>670.6</v>
      </c>
      <c r="L10" s="11">
        <f t="shared" si="1"/>
        <v>958</v>
      </c>
      <c r="M10" s="11">
        <f t="shared" si="1"/>
        <v>766.4</v>
      </c>
      <c r="N10" s="11">
        <f t="shared" si="1"/>
        <v>1149.5999999999999</v>
      </c>
      <c r="O10" s="16">
        <f>SUM(C10:N10)</f>
        <v>8622</v>
      </c>
      <c r="P10" s="6"/>
    </row>
    <row r="11" spans="1:16">
      <c r="A11" s="6" t="s">
        <v>20</v>
      </c>
      <c r="B11" s="6"/>
      <c r="C11" s="8">
        <f>C10*20%</f>
        <v>95.800000000000011</v>
      </c>
      <c r="D11" s="8">
        <f t="shared" ref="D11:N11" si="2">D10*20%</f>
        <v>153.28</v>
      </c>
      <c r="E11" s="8">
        <f t="shared" si="2"/>
        <v>114.96</v>
      </c>
      <c r="F11" s="8">
        <f t="shared" si="2"/>
        <v>172.44000000000003</v>
      </c>
      <c r="G11" s="8">
        <f t="shared" si="2"/>
        <v>114.96</v>
      </c>
      <c r="H11" s="8">
        <f t="shared" si="2"/>
        <v>153.28</v>
      </c>
      <c r="I11" s="8">
        <f t="shared" si="2"/>
        <v>76.64</v>
      </c>
      <c r="J11" s="8">
        <f t="shared" si="2"/>
        <v>134.12</v>
      </c>
      <c r="K11" s="8">
        <f t="shared" si="2"/>
        <v>134.12</v>
      </c>
      <c r="L11" s="8">
        <f t="shared" si="2"/>
        <v>191.60000000000002</v>
      </c>
      <c r="M11" s="8">
        <f t="shared" si="2"/>
        <v>153.28</v>
      </c>
      <c r="N11" s="8">
        <f t="shared" si="2"/>
        <v>229.92</v>
      </c>
      <c r="O11" s="6"/>
      <c r="P11" s="6"/>
    </row>
    <row r="12" spans="1:16">
      <c r="A12" s="6" t="s">
        <v>21</v>
      </c>
      <c r="B12" s="6"/>
      <c r="C12" s="8">
        <f>C11+C10</f>
        <v>574.79999999999995</v>
      </c>
      <c r="D12" s="8">
        <f t="shared" ref="D12:N12" si="3">D11+D10</f>
        <v>919.68</v>
      </c>
      <c r="E12" s="8">
        <f t="shared" si="3"/>
        <v>689.76</v>
      </c>
      <c r="F12" s="8">
        <f t="shared" si="3"/>
        <v>1034.6400000000001</v>
      </c>
      <c r="G12" s="8">
        <f t="shared" si="3"/>
        <v>689.76</v>
      </c>
      <c r="H12" s="8">
        <f t="shared" si="3"/>
        <v>919.68</v>
      </c>
      <c r="I12" s="8">
        <f t="shared" si="3"/>
        <v>459.84</v>
      </c>
      <c r="J12" s="8">
        <f t="shared" si="3"/>
        <v>804.72</v>
      </c>
      <c r="K12" s="8">
        <f t="shared" si="3"/>
        <v>804.72</v>
      </c>
      <c r="L12" s="8">
        <f t="shared" si="3"/>
        <v>1149.5999999999999</v>
      </c>
      <c r="M12" s="8">
        <f t="shared" si="3"/>
        <v>919.68</v>
      </c>
      <c r="N12" s="8">
        <f t="shared" si="3"/>
        <v>1379.52</v>
      </c>
      <c r="O12" s="6"/>
      <c r="P12" s="6"/>
    </row>
    <row r="17" spans="1:17">
      <c r="A17" s="5" t="s">
        <v>22</v>
      </c>
      <c r="B17" s="1"/>
      <c r="C17" s="7" t="s">
        <v>3</v>
      </c>
      <c r="D17" s="7" t="s">
        <v>4</v>
      </c>
      <c r="E17" s="7" t="s">
        <v>5</v>
      </c>
      <c r="F17" s="7" t="s">
        <v>6</v>
      </c>
      <c r="G17" s="7" t="s">
        <v>7</v>
      </c>
      <c r="H17" s="7" t="s">
        <v>8</v>
      </c>
      <c r="I17" s="7" t="s">
        <v>9</v>
      </c>
      <c r="J17" s="7" t="s">
        <v>10</v>
      </c>
      <c r="K17" s="7" t="s">
        <v>11</v>
      </c>
      <c r="L17" s="7" t="s">
        <v>12</v>
      </c>
      <c r="M17" s="7" t="s">
        <v>13</v>
      </c>
      <c r="N17" s="7" t="s">
        <v>14</v>
      </c>
      <c r="O17" s="7" t="s">
        <v>15</v>
      </c>
      <c r="P17" s="7" t="s">
        <v>16</v>
      </c>
    </row>
    <row r="18" spans="1:17">
      <c r="A18" s="6" t="s">
        <v>23</v>
      </c>
      <c r="B18" s="6"/>
      <c r="C18" s="8">
        <f t="shared" ref="C18:N18" si="4">C12</f>
        <v>574.79999999999995</v>
      </c>
      <c r="D18" s="8">
        <f t="shared" si="4"/>
        <v>919.68</v>
      </c>
      <c r="E18" s="8">
        <f t="shared" si="4"/>
        <v>689.76</v>
      </c>
      <c r="F18" s="8">
        <f t="shared" si="4"/>
        <v>1034.6400000000001</v>
      </c>
      <c r="G18" s="8">
        <f t="shared" si="4"/>
        <v>689.76</v>
      </c>
      <c r="H18" s="8">
        <f t="shared" si="4"/>
        <v>919.68</v>
      </c>
      <c r="I18" s="8">
        <f t="shared" si="4"/>
        <v>459.84</v>
      </c>
      <c r="J18" s="8">
        <f t="shared" si="4"/>
        <v>804.72</v>
      </c>
      <c r="K18" s="8">
        <f t="shared" si="4"/>
        <v>804.72</v>
      </c>
      <c r="L18" s="8">
        <f t="shared" si="4"/>
        <v>1149.5999999999999</v>
      </c>
      <c r="M18" s="8">
        <f t="shared" si="4"/>
        <v>919.68</v>
      </c>
      <c r="N18" s="8">
        <f t="shared" si="4"/>
        <v>1379.52</v>
      </c>
      <c r="O18" s="8">
        <f>SUM(C18:N18)</f>
        <v>10346.400000000001</v>
      </c>
      <c r="P18" s="6"/>
    </row>
    <row r="20" spans="1:17" ht="15.75">
      <c r="C20" s="18" t="s">
        <v>24</v>
      </c>
      <c r="D20" s="18"/>
      <c r="E20" s="18"/>
      <c r="F20" s="20" t="s">
        <v>25</v>
      </c>
      <c r="I20" s="22" t="s">
        <v>26</v>
      </c>
      <c r="L20" s="25" t="s">
        <v>27</v>
      </c>
    </row>
    <row r="21" spans="1:17">
      <c r="A21" s="5" t="s">
        <v>28</v>
      </c>
      <c r="B21" s="1"/>
      <c r="C21" s="7" t="s">
        <v>3</v>
      </c>
      <c r="D21" s="7" t="s">
        <v>4</v>
      </c>
      <c r="E21" s="7" t="s">
        <v>5</v>
      </c>
      <c r="F21" s="7" t="s">
        <v>6</v>
      </c>
      <c r="G21" s="7" t="s">
        <v>7</v>
      </c>
      <c r="H21" s="7" t="s">
        <v>8</v>
      </c>
      <c r="I21" s="7" t="s">
        <v>9</v>
      </c>
      <c r="J21" s="7" t="s">
        <v>10</v>
      </c>
      <c r="K21" s="7" t="s">
        <v>11</v>
      </c>
      <c r="L21" s="7" t="s">
        <v>12</v>
      </c>
      <c r="M21" s="7" t="s">
        <v>13</v>
      </c>
      <c r="N21" s="7" t="s">
        <v>14</v>
      </c>
      <c r="O21" s="7" t="s">
        <v>15</v>
      </c>
      <c r="P21" s="7" t="s">
        <v>16</v>
      </c>
    </row>
    <row r="22" spans="1:17" ht="15.75">
      <c r="A22" s="9" t="s">
        <v>29</v>
      </c>
      <c r="B22" s="10">
        <v>2.98</v>
      </c>
      <c r="C22" s="19">
        <f>$B$22*(C8+D8+E8)</f>
        <v>283.10000000000002</v>
      </c>
      <c r="D22" s="11"/>
      <c r="E22" s="11"/>
      <c r="F22" s="21">
        <f>$B$22*(F8+G8+H8)</f>
        <v>342.7</v>
      </c>
      <c r="G22" s="11"/>
      <c r="H22" s="11"/>
      <c r="I22" s="23">
        <f>$B$22*(I8+J8+K8)</f>
        <v>268.2</v>
      </c>
      <c r="J22" s="11"/>
      <c r="K22" s="11"/>
      <c r="L22" s="24">
        <f>$B$22*(L8+M8+N8)</f>
        <v>447</v>
      </c>
      <c r="M22" s="11"/>
      <c r="N22" s="11"/>
      <c r="O22" s="7"/>
      <c r="P22" s="26">
        <f>SUM(C22:N22)</f>
        <v>1341</v>
      </c>
      <c r="Q22" t="s">
        <v>30</v>
      </c>
    </row>
    <row r="23" spans="1:17">
      <c r="A23" s="9" t="s">
        <v>31</v>
      </c>
      <c r="B23" s="10">
        <v>2.75</v>
      </c>
      <c r="C23" s="11">
        <f>$B$23*C8</f>
        <v>68.75</v>
      </c>
      <c r="D23" s="11">
        <f t="shared" ref="D23:N23" si="5">$B$23*D8</f>
        <v>110</v>
      </c>
      <c r="E23" s="11">
        <f t="shared" si="5"/>
        <v>82.5</v>
      </c>
      <c r="F23" s="11">
        <f t="shared" si="5"/>
        <v>123.75</v>
      </c>
      <c r="G23" s="11">
        <f t="shared" si="5"/>
        <v>82.5</v>
      </c>
      <c r="H23" s="11">
        <f t="shared" si="5"/>
        <v>110</v>
      </c>
      <c r="I23" s="11">
        <f t="shared" si="5"/>
        <v>55</v>
      </c>
      <c r="J23" s="11">
        <f t="shared" si="5"/>
        <v>96.25</v>
      </c>
      <c r="K23" s="11">
        <f t="shared" si="5"/>
        <v>96.25</v>
      </c>
      <c r="L23" s="11">
        <f t="shared" si="5"/>
        <v>137.5</v>
      </c>
      <c r="M23" s="11">
        <f t="shared" si="5"/>
        <v>110</v>
      </c>
      <c r="N23" s="11">
        <f t="shared" si="5"/>
        <v>165</v>
      </c>
      <c r="O23" s="6"/>
      <c r="P23" s="6"/>
      <c r="Q23" t="s">
        <v>32</v>
      </c>
    </row>
    <row r="24" spans="1:17">
      <c r="A24" s="9" t="s">
        <v>33</v>
      </c>
      <c r="B24" s="10">
        <v>1.23</v>
      </c>
      <c r="C24" s="11">
        <f>$B$24*C8</f>
        <v>30.75</v>
      </c>
      <c r="D24" s="11">
        <f t="shared" ref="D24:N24" si="6">$B$24*D8</f>
        <v>49.2</v>
      </c>
      <c r="E24" s="11">
        <f t="shared" si="6"/>
        <v>36.9</v>
      </c>
      <c r="F24" s="11">
        <f t="shared" si="6"/>
        <v>55.35</v>
      </c>
      <c r="G24" s="11">
        <f t="shared" si="6"/>
        <v>36.9</v>
      </c>
      <c r="H24" s="11">
        <f t="shared" si="6"/>
        <v>49.2</v>
      </c>
      <c r="I24" s="11">
        <f t="shared" si="6"/>
        <v>24.6</v>
      </c>
      <c r="J24" s="11">
        <f t="shared" si="6"/>
        <v>43.05</v>
      </c>
      <c r="K24" s="11">
        <f t="shared" si="6"/>
        <v>43.05</v>
      </c>
      <c r="L24" s="11">
        <f t="shared" si="6"/>
        <v>61.5</v>
      </c>
      <c r="M24" s="11">
        <f t="shared" si="6"/>
        <v>49.2</v>
      </c>
      <c r="N24" s="11">
        <f t="shared" si="6"/>
        <v>73.8</v>
      </c>
      <c r="O24" s="6"/>
      <c r="P24" s="6"/>
    </row>
    <row r="25" spans="1:17">
      <c r="A25" s="9" t="s">
        <v>34</v>
      </c>
      <c r="B25" s="10">
        <f>0.52*4</f>
        <v>2.08</v>
      </c>
      <c r="C25" s="11">
        <f>$B$25*C8</f>
        <v>52</v>
      </c>
      <c r="D25" s="11">
        <f t="shared" ref="D25:N25" si="7">$B$25*D8</f>
        <v>83.2</v>
      </c>
      <c r="E25" s="11">
        <f t="shared" si="7"/>
        <v>62.400000000000006</v>
      </c>
      <c r="F25" s="11">
        <f t="shared" si="7"/>
        <v>93.600000000000009</v>
      </c>
      <c r="G25" s="11">
        <f t="shared" si="7"/>
        <v>62.400000000000006</v>
      </c>
      <c r="H25" s="11">
        <f t="shared" si="7"/>
        <v>83.2</v>
      </c>
      <c r="I25" s="11">
        <f t="shared" si="7"/>
        <v>41.6</v>
      </c>
      <c r="J25" s="11">
        <f t="shared" si="7"/>
        <v>72.8</v>
      </c>
      <c r="K25" s="11">
        <f t="shared" si="7"/>
        <v>72.8</v>
      </c>
      <c r="L25" s="11">
        <f t="shared" si="7"/>
        <v>104</v>
      </c>
      <c r="M25" s="11">
        <f t="shared" si="7"/>
        <v>83.2</v>
      </c>
      <c r="N25" s="11">
        <f t="shared" si="7"/>
        <v>124.80000000000001</v>
      </c>
      <c r="O25" s="6"/>
      <c r="P25" s="6"/>
    </row>
    <row r="26" spans="1:17">
      <c r="A26" s="9" t="s">
        <v>35</v>
      </c>
      <c r="B26" s="10">
        <v>0.53</v>
      </c>
      <c r="C26" s="11">
        <f>$B$26*C8</f>
        <v>13.25</v>
      </c>
      <c r="D26" s="11">
        <f t="shared" ref="D26:N26" si="8">$B$26*D8</f>
        <v>21.200000000000003</v>
      </c>
      <c r="E26" s="11">
        <f t="shared" si="8"/>
        <v>15.9</v>
      </c>
      <c r="F26" s="11">
        <f t="shared" si="8"/>
        <v>23.85</v>
      </c>
      <c r="G26" s="11">
        <f t="shared" si="8"/>
        <v>15.9</v>
      </c>
      <c r="H26" s="11">
        <f t="shared" si="8"/>
        <v>21.200000000000003</v>
      </c>
      <c r="I26" s="11">
        <f t="shared" si="8"/>
        <v>10.600000000000001</v>
      </c>
      <c r="J26" s="11">
        <f t="shared" si="8"/>
        <v>18.55</v>
      </c>
      <c r="K26" s="11">
        <f t="shared" si="8"/>
        <v>18.55</v>
      </c>
      <c r="L26" s="11">
        <f t="shared" si="8"/>
        <v>26.5</v>
      </c>
      <c r="M26" s="11">
        <f t="shared" si="8"/>
        <v>21.200000000000003</v>
      </c>
      <c r="N26" s="11">
        <f t="shared" si="8"/>
        <v>31.8</v>
      </c>
      <c r="O26" s="6"/>
      <c r="P26" s="6"/>
    </row>
    <row r="27" spans="1:17">
      <c r="A27" s="9" t="s">
        <v>36</v>
      </c>
      <c r="B27" s="10">
        <v>0.53</v>
      </c>
      <c r="C27" s="11">
        <f>$B$27*C8</f>
        <v>13.25</v>
      </c>
      <c r="D27" s="11">
        <f t="shared" ref="D27:N27" si="9">$B$27*D8</f>
        <v>21.200000000000003</v>
      </c>
      <c r="E27" s="11">
        <f t="shared" si="9"/>
        <v>15.9</v>
      </c>
      <c r="F27" s="11">
        <f t="shared" si="9"/>
        <v>23.85</v>
      </c>
      <c r="G27" s="11">
        <f t="shared" si="9"/>
        <v>15.9</v>
      </c>
      <c r="H27" s="11">
        <f t="shared" si="9"/>
        <v>21.200000000000003</v>
      </c>
      <c r="I27" s="11">
        <f t="shared" si="9"/>
        <v>10.600000000000001</v>
      </c>
      <c r="J27" s="11">
        <f t="shared" si="9"/>
        <v>18.55</v>
      </c>
      <c r="K27" s="11">
        <f t="shared" si="9"/>
        <v>18.55</v>
      </c>
      <c r="L27" s="11">
        <f t="shared" si="9"/>
        <v>26.5</v>
      </c>
      <c r="M27" s="11">
        <f t="shared" si="9"/>
        <v>21.200000000000003</v>
      </c>
      <c r="N27" s="11">
        <f t="shared" si="9"/>
        <v>31.8</v>
      </c>
      <c r="O27" s="6"/>
      <c r="P27" s="6"/>
    </row>
    <row r="28" spans="1:17">
      <c r="A28" s="7" t="s">
        <v>37</v>
      </c>
      <c r="B28" s="12">
        <f>SUM(B22:B27)</f>
        <v>10.1</v>
      </c>
      <c r="C28" s="6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6"/>
      <c r="P28" s="6"/>
    </row>
    <row r="29" spans="1:17">
      <c r="A29" s="7"/>
      <c r="B29" s="12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7">
      <c r="A30" s="7" t="s">
        <v>38</v>
      </c>
      <c r="B30" s="12"/>
      <c r="C30" s="11">
        <f t="shared" ref="C30:N30" si="10">$B$28*C8</f>
        <v>252.5</v>
      </c>
      <c r="D30" s="11">
        <f t="shared" si="10"/>
        <v>404</v>
      </c>
      <c r="E30" s="11">
        <f t="shared" si="10"/>
        <v>303</v>
      </c>
      <c r="F30" s="11">
        <f t="shared" si="10"/>
        <v>454.5</v>
      </c>
      <c r="G30" s="11">
        <f t="shared" si="10"/>
        <v>303</v>
      </c>
      <c r="H30" s="11">
        <f t="shared" si="10"/>
        <v>404</v>
      </c>
      <c r="I30" s="11">
        <f t="shared" si="10"/>
        <v>202</v>
      </c>
      <c r="J30" s="11">
        <f t="shared" si="10"/>
        <v>353.5</v>
      </c>
      <c r="K30" s="11">
        <f t="shared" si="10"/>
        <v>353.5</v>
      </c>
      <c r="L30" s="11">
        <f t="shared" si="10"/>
        <v>505</v>
      </c>
      <c r="M30" s="11">
        <f t="shared" si="10"/>
        <v>404</v>
      </c>
      <c r="N30" s="11">
        <f t="shared" si="10"/>
        <v>606</v>
      </c>
      <c r="O30" s="6"/>
      <c r="P30" s="11">
        <f>SUM(C30:N30)</f>
        <v>4545</v>
      </c>
    </row>
    <row r="31" spans="1:17">
      <c r="A31" s="6" t="s">
        <v>39</v>
      </c>
      <c r="B31" s="11">
        <f>B22*0.055+B23*0.055</f>
        <v>0.31514999999999999</v>
      </c>
      <c r="C31" s="11">
        <f>$B$31*C8</f>
        <v>7.8787499999999993</v>
      </c>
      <c r="D31" s="11">
        <f t="shared" ref="D31:N31" si="11">$B$31*D8</f>
        <v>12.606</v>
      </c>
      <c r="E31" s="11">
        <f t="shared" si="11"/>
        <v>9.4544999999999995</v>
      </c>
      <c r="F31" s="11">
        <f t="shared" si="11"/>
        <v>14.181749999999999</v>
      </c>
      <c r="G31" s="11">
        <f t="shared" si="11"/>
        <v>9.4544999999999995</v>
      </c>
      <c r="H31" s="11">
        <f t="shared" si="11"/>
        <v>12.606</v>
      </c>
      <c r="I31" s="11">
        <f t="shared" si="11"/>
        <v>6.3029999999999999</v>
      </c>
      <c r="J31" s="11">
        <f t="shared" si="11"/>
        <v>11.030249999999999</v>
      </c>
      <c r="K31" s="11">
        <f t="shared" si="11"/>
        <v>11.030249999999999</v>
      </c>
      <c r="L31" s="11">
        <f t="shared" si="11"/>
        <v>15.757499999999999</v>
      </c>
      <c r="M31" s="11">
        <f t="shared" si="11"/>
        <v>12.606</v>
      </c>
      <c r="N31" s="11">
        <f t="shared" si="11"/>
        <v>18.908999999999999</v>
      </c>
      <c r="O31" s="6"/>
      <c r="P31" s="6"/>
    </row>
    <row r="32" spans="1:17">
      <c r="A32" s="6" t="s">
        <v>40</v>
      </c>
      <c r="B32" s="11">
        <f>B24*0.2+B25*0.2+B26*0.2+B287*0.2+B27*0.2</f>
        <v>0.874</v>
      </c>
      <c r="C32" s="11">
        <f>$B$32*C8</f>
        <v>21.85</v>
      </c>
      <c r="D32" s="11">
        <f t="shared" ref="D32:N32" si="12">$B$32*D8</f>
        <v>34.96</v>
      </c>
      <c r="E32" s="11">
        <f t="shared" si="12"/>
        <v>26.22</v>
      </c>
      <c r="F32" s="11">
        <f t="shared" si="12"/>
        <v>39.33</v>
      </c>
      <c r="G32" s="11">
        <f t="shared" si="12"/>
        <v>26.22</v>
      </c>
      <c r="H32" s="11">
        <f t="shared" si="12"/>
        <v>34.96</v>
      </c>
      <c r="I32" s="11">
        <f t="shared" si="12"/>
        <v>17.48</v>
      </c>
      <c r="J32" s="11">
        <f t="shared" si="12"/>
        <v>30.59</v>
      </c>
      <c r="K32" s="11">
        <f t="shared" si="12"/>
        <v>30.59</v>
      </c>
      <c r="L32" s="11">
        <f t="shared" si="12"/>
        <v>43.7</v>
      </c>
      <c r="M32" s="11">
        <f t="shared" si="12"/>
        <v>34.96</v>
      </c>
      <c r="N32" s="11">
        <f t="shared" si="12"/>
        <v>52.44</v>
      </c>
      <c r="O32" s="6"/>
      <c r="P32" s="6"/>
    </row>
    <row r="33" spans="1:16">
      <c r="A33" s="6" t="s">
        <v>41</v>
      </c>
      <c r="B33" s="6"/>
      <c r="C33" s="6"/>
      <c r="D33" s="11">
        <f>SUM(D30:D32)</f>
        <v>451.56599999999997</v>
      </c>
      <c r="E33" s="11">
        <f t="shared" ref="E33:N33" si="13">SUM(E30:E32)</f>
        <v>338.67449999999997</v>
      </c>
      <c r="F33" s="11">
        <f t="shared" si="13"/>
        <v>508.01175000000001</v>
      </c>
      <c r="G33" s="11">
        <f t="shared" si="13"/>
        <v>338.67449999999997</v>
      </c>
      <c r="H33" s="11">
        <f t="shared" si="13"/>
        <v>451.56599999999997</v>
      </c>
      <c r="I33" s="11">
        <f t="shared" si="13"/>
        <v>225.78299999999999</v>
      </c>
      <c r="J33" s="11">
        <f t="shared" si="13"/>
        <v>395.12025</v>
      </c>
      <c r="K33" s="11">
        <f t="shared" si="13"/>
        <v>395.12025</v>
      </c>
      <c r="L33" s="11">
        <f t="shared" si="13"/>
        <v>564.4575000000001</v>
      </c>
      <c r="M33" s="11">
        <f t="shared" si="13"/>
        <v>451.56599999999997</v>
      </c>
      <c r="N33" s="11">
        <f t="shared" si="13"/>
        <v>677.34899999999993</v>
      </c>
      <c r="O33" s="6"/>
      <c r="P33" s="6"/>
    </row>
    <row r="35" spans="1:16">
      <c r="A35" s="5" t="s">
        <v>42</v>
      </c>
      <c r="C35" s="7" t="s">
        <v>3</v>
      </c>
      <c r="D35" s="7" t="s">
        <v>4</v>
      </c>
      <c r="E35" s="7" t="s">
        <v>5</v>
      </c>
      <c r="F35" s="7" t="s">
        <v>6</v>
      </c>
      <c r="G35" s="7" t="s">
        <v>7</v>
      </c>
      <c r="H35" s="7" t="s">
        <v>8</v>
      </c>
      <c r="I35" s="7" t="s">
        <v>9</v>
      </c>
      <c r="J35" s="7" t="s">
        <v>10</v>
      </c>
      <c r="K35" s="7" t="s">
        <v>11</v>
      </c>
      <c r="L35" s="7" t="s">
        <v>12</v>
      </c>
      <c r="M35" s="7" t="s">
        <v>13</v>
      </c>
      <c r="N35" s="7" t="s">
        <v>14</v>
      </c>
      <c r="O35" s="7" t="s">
        <v>15</v>
      </c>
      <c r="P35" s="7" t="s">
        <v>16</v>
      </c>
    </row>
    <row r="36" spans="1:16">
      <c r="A36" s="6" t="s">
        <v>43</v>
      </c>
      <c r="B36" s="6"/>
      <c r="C36" s="6"/>
      <c r="D36" s="6"/>
      <c r="E36" s="12">
        <v>10</v>
      </c>
      <c r="F36" s="12">
        <v>10</v>
      </c>
      <c r="G36" s="12">
        <v>10</v>
      </c>
      <c r="H36" s="12">
        <v>10</v>
      </c>
      <c r="I36" s="12">
        <v>10</v>
      </c>
      <c r="J36" s="12">
        <v>10</v>
      </c>
      <c r="K36" s="12">
        <v>10</v>
      </c>
      <c r="L36" s="12">
        <v>10</v>
      </c>
      <c r="M36" s="12">
        <v>10</v>
      </c>
      <c r="N36" s="12">
        <v>10</v>
      </c>
      <c r="O36" s="6"/>
      <c r="P36" s="6"/>
    </row>
    <row r="37" spans="1:16" s="13" customFormat="1">
      <c r="A37" s="12" t="s">
        <v>44</v>
      </c>
      <c r="B37" s="12"/>
      <c r="C37" s="12">
        <f>SUM(C36)</f>
        <v>0</v>
      </c>
      <c r="D37" s="12">
        <f t="shared" ref="D37:N37" si="14">SUM(D36)</f>
        <v>0</v>
      </c>
      <c r="E37" s="12">
        <f t="shared" si="14"/>
        <v>10</v>
      </c>
      <c r="F37" s="12">
        <f t="shared" si="14"/>
        <v>10</v>
      </c>
      <c r="G37" s="12">
        <f t="shared" si="14"/>
        <v>10</v>
      </c>
      <c r="H37" s="12">
        <f t="shared" si="14"/>
        <v>10</v>
      </c>
      <c r="I37" s="12">
        <f t="shared" si="14"/>
        <v>10</v>
      </c>
      <c r="J37" s="12">
        <f t="shared" si="14"/>
        <v>10</v>
      </c>
      <c r="K37" s="12">
        <f t="shared" si="14"/>
        <v>10</v>
      </c>
      <c r="L37" s="12">
        <f t="shared" si="14"/>
        <v>10</v>
      </c>
      <c r="M37" s="12">
        <f t="shared" si="14"/>
        <v>10</v>
      </c>
      <c r="N37" s="12">
        <f t="shared" si="14"/>
        <v>10</v>
      </c>
      <c r="O37" s="12"/>
      <c r="P37" s="12"/>
    </row>
    <row r="39" spans="1:16">
      <c r="A39" s="5" t="s">
        <v>45</v>
      </c>
      <c r="C39" s="7" t="s">
        <v>3</v>
      </c>
      <c r="D39" s="7" t="s">
        <v>4</v>
      </c>
      <c r="E39" s="7" t="s">
        <v>5</v>
      </c>
      <c r="F39" s="7" t="s">
        <v>6</v>
      </c>
      <c r="G39" s="7" t="s">
        <v>7</v>
      </c>
      <c r="H39" s="7" t="s">
        <v>8</v>
      </c>
      <c r="I39" s="7" t="s">
        <v>9</v>
      </c>
      <c r="J39" s="7" t="s">
        <v>10</v>
      </c>
      <c r="K39" s="7" t="s">
        <v>11</v>
      </c>
      <c r="L39" s="7" t="s">
        <v>12</v>
      </c>
      <c r="M39" s="7" t="s">
        <v>13</v>
      </c>
      <c r="N39" s="7" t="s">
        <v>14</v>
      </c>
      <c r="O39" s="7" t="s">
        <v>15</v>
      </c>
      <c r="P39" s="7" t="s">
        <v>16</v>
      </c>
    </row>
    <row r="40" spans="1:16">
      <c r="A40" s="6" t="s">
        <v>46</v>
      </c>
      <c r="B40" s="6"/>
      <c r="C40" s="11">
        <f>C31</f>
        <v>7.8787499999999993</v>
      </c>
      <c r="D40" s="11">
        <f t="shared" ref="D40:N40" si="15">D31</f>
        <v>12.606</v>
      </c>
      <c r="E40" s="11">
        <f t="shared" si="15"/>
        <v>9.4544999999999995</v>
      </c>
      <c r="F40" s="11">
        <f t="shared" si="15"/>
        <v>14.181749999999999</v>
      </c>
      <c r="G40" s="11">
        <f t="shared" si="15"/>
        <v>9.4544999999999995</v>
      </c>
      <c r="H40" s="11">
        <f t="shared" si="15"/>
        <v>12.606</v>
      </c>
      <c r="I40" s="11">
        <f t="shared" si="15"/>
        <v>6.3029999999999999</v>
      </c>
      <c r="J40" s="11">
        <f t="shared" si="15"/>
        <v>11.030249999999999</v>
      </c>
      <c r="K40" s="11">
        <f t="shared" si="15"/>
        <v>11.030249999999999</v>
      </c>
      <c r="L40" s="11">
        <f t="shared" si="15"/>
        <v>15.757499999999999</v>
      </c>
      <c r="M40" s="11">
        <f t="shared" si="15"/>
        <v>12.606</v>
      </c>
      <c r="N40" s="11">
        <f t="shared" si="15"/>
        <v>18.908999999999999</v>
      </c>
      <c r="O40" s="6"/>
      <c r="P40" s="6"/>
    </row>
    <row r="41" spans="1:16">
      <c r="A41" s="6" t="s">
        <v>47</v>
      </c>
      <c r="B41" s="6"/>
      <c r="C41" s="11">
        <f>C32</f>
        <v>21.85</v>
      </c>
      <c r="D41" s="11">
        <f t="shared" ref="D41:N41" si="16">D32</f>
        <v>34.96</v>
      </c>
      <c r="E41" s="11">
        <f t="shared" si="16"/>
        <v>26.22</v>
      </c>
      <c r="F41" s="11">
        <f t="shared" si="16"/>
        <v>39.33</v>
      </c>
      <c r="G41" s="11">
        <f t="shared" si="16"/>
        <v>26.22</v>
      </c>
      <c r="H41" s="11">
        <f t="shared" si="16"/>
        <v>34.96</v>
      </c>
      <c r="I41" s="11">
        <f t="shared" si="16"/>
        <v>17.48</v>
      </c>
      <c r="J41" s="11">
        <f t="shared" si="16"/>
        <v>30.59</v>
      </c>
      <c r="K41" s="11">
        <f t="shared" si="16"/>
        <v>30.59</v>
      </c>
      <c r="L41" s="11">
        <f t="shared" si="16"/>
        <v>43.7</v>
      </c>
      <c r="M41" s="11">
        <f t="shared" si="16"/>
        <v>34.96</v>
      </c>
      <c r="N41" s="11">
        <f t="shared" si="16"/>
        <v>52.44</v>
      </c>
      <c r="O41" s="6"/>
      <c r="P41" s="6"/>
    </row>
    <row r="42" spans="1:16">
      <c r="A42" s="6" t="s">
        <v>48</v>
      </c>
      <c r="B42" s="6"/>
      <c r="C42" s="11">
        <f>SUM(C40:C41)</f>
        <v>29.728750000000002</v>
      </c>
      <c r="D42" s="11">
        <f t="shared" ref="D42:N42" si="17">SUM(D40:D41)</f>
        <v>47.566000000000003</v>
      </c>
      <c r="E42" s="11">
        <f t="shared" si="17"/>
        <v>35.674499999999995</v>
      </c>
      <c r="F42" s="11">
        <f t="shared" si="17"/>
        <v>53.511749999999999</v>
      </c>
      <c r="G42" s="11">
        <f t="shared" si="17"/>
        <v>35.674499999999995</v>
      </c>
      <c r="H42" s="11">
        <f t="shared" si="17"/>
        <v>47.566000000000003</v>
      </c>
      <c r="I42" s="11">
        <f t="shared" si="17"/>
        <v>23.783000000000001</v>
      </c>
      <c r="J42" s="11">
        <f t="shared" si="17"/>
        <v>41.620249999999999</v>
      </c>
      <c r="K42" s="11">
        <f t="shared" si="17"/>
        <v>41.620249999999999</v>
      </c>
      <c r="L42" s="11">
        <f t="shared" si="17"/>
        <v>59.457500000000003</v>
      </c>
      <c r="M42" s="11">
        <f t="shared" si="17"/>
        <v>47.566000000000003</v>
      </c>
      <c r="N42" s="11">
        <f t="shared" si="17"/>
        <v>71.34899999999999</v>
      </c>
      <c r="O42" s="6"/>
      <c r="P42" s="11">
        <f>SUM(C42:N42)</f>
        <v>535.11750000000006</v>
      </c>
    </row>
    <row r="44" spans="1:16">
      <c r="A44" s="5" t="s">
        <v>49</v>
      </c>
      <c r="C44" s="7" t="s">
        <v>3</v>
      </c>
      <c r="D44" s="7" t="s">
        <v>4</v>
      </c>
      <c r="E44" s="7" t="s">
        <v>5</v>
      </c>
      <c r="F44" s="7" t="s">
        <v>6</v>
      </c>
      <c r="G44" s="7" t="s">
        <v>7</v>
      </c>
      <c r="H44" s="7" t="s">
        <v>8</v>
      </c>
      <c r="I44" s="7" t="s">
        <v>9</v>
      </c>
      <c r="J44" s="7" t="s">
        <v>10</v>
      </c>
      <c r="K44" s="7" t="s">
        <v>11</v>
      </c>
      <c r="L44" s="7" t="s">
        <v>12</v>
      </c>
      <c r="M44" s="7" t="s">
        <v>13</v>
      </c>
      <c r="N44" s="7" t="s">
        <v>14</v>
      </c>
      <c r="O44" s="7" t="s">
        <v>15</v>
      </c>
      <c r="P44" s="7" t="s">
        <v>16</v>
      </c>
    </row>
    <row r="45" spans="1:16">
      <c r="A45" s="6" t="s">
        <v>50</v>
      </c>
      <c r="B45" s="6"/>
      <c r="C45" s="11">
        <f t="shared" ref="C45:N45" si="18">C33</f>
        <v>0</v>
      </c>
      <c r="D45" s="11">
        <f t="shared" si="18"/>
        <v>451.56599999999997</v>
      </c>
      <c r="E45" s="11">
        <f t="shared" si="18"/>
        <v>338.67449999999997</v>
      </c>
      <c r="F45" s="11">
        <f t="shared" si="18"/>
        <v>508.01175000000001</v>
      </c>
      <c r="G45" s="11">
        <f>G33</f>
        <v>338.67449999999997</v>
      </c>
      <c r="H45" s="11">
        <f t="shared" si="18"/>
        <v>451.56599999999997</v>
      </c>
      <c r="I45" s="11">
        <f t="shared" si="18"/>
        <v>225.78299999999999</v>
      </c>
      <c r="J45" s="11">
        <f t="shared" si="18"/>
        <v>395.12025</v>
      </c>
      <c r="K45" s="11">
        <f t="shared" si="18"/>
        <v>395.12025</v>
      </c>
      <c r="L45" s="11">
        <f t="shared" si="18"/>
        <v>564.4575000000001</v>
      </c>
      <c r="M45" s="11">
        <f t="shared" si="18"/>
        <v>451.56599999999997</v>
      </c>
      <c r="N45" s="11">
        <f t="shared" si="18"/>
        <v>677.34899999999993</v>
      </c>
      <c r="O45" s="6"/>
      <c r="P45" s="6"/>
    </row>
    <row r="46" spans="1:16">
      <c r="A46" s="6" t="s">
        <v>51</v>
      </c>
      <c r="B46" s="6"/>
      <c r="C46" s="11">
        <f t="shared" ref="C46:N46" si="19">C37</f>
        <v>0</v>
      </c>
      <c r="D46" s="11">
        <f t="shared" si="19"/>
        <v>0</v>
      </c>
      <c r="E46" s="11">
        <f t="shared" si="19"/>
        <v>10</v>
      </c>
      <c r="F46" s="11">
        <f t="shared" si="19"/>
        <v>10</v>
      </c>
      <c r="G46" s="11">
        <f t="shared" si="19"/>
        <v>10</v>
      </c>
      <c r="H46" s="11">
        <f t="shared" si="19"/>
        <v>10</v>
      </c>
      <c r="I46" s="11">
        <f t="shared" si="19"/>
        <v>10</v>
      </c>
      <c r="J46" s="11">
        <f t="shared" si="19"/>
        <v>10</v>
      </c>
      <c r="K46" s="11">
        <f t="shared" si="19"/>
        <v>10</v>
      </c>
      <c r="L46" s="11">
        <f t="shared" si="19"/>
        <v>10</v>
      </c>
      <c r="M46" s="11">
        <f t="shared" si="19"/>
        <v>10</v>
      </c>
      <c r="N46" s="11">
        <f t="shared" si="19"/>
        <v>10</v>
      </c>
      <c r="O46" s="6"/>
      <c r="P46" s="6"/>
    </row>
    <row r="47" spans="1:16">
      <c r="A47" s="6" t="s">
        <v>52</v>
      </c>
      <c r="B47" s="6"/>
      <c r="C47" s="11">
        <f t="shared" ref="C47:N47" si="20">SUM(C45:C46)</f>
        <v>0</v>
      </c>
      <c r="D47" s="11">
        <f t="shared" si="20"/>
        <v>451.56599999999997</v>
      </c>
      <c r="E47" s="11">
        <f t="shared" si="20"/>
        <v>348.67449999999997</v>
      </c>
      <c r="F47" s="11">
        <f t="shared" si="20"/>
        <v>518.01175000000001</v>
      </c>
      <c r="G47" s="11">
        <f t="shared" si="20"/>
        <v>348.67449999999997</v>
      </c>
      <c r="H47" s="11">
        <f t="shared" si="20"/>
        <v>461.56599999999997</v>
      </c>
      <c r="I47" s="11">
        <f t="shared" si="20"/>
        <v>235.78299999999999</v>
      </c>
      <c r="J47" s="11">
        <f t="shared" si="20"/>
        <v>405.12025</v>
      </c>
      <c r="K47" s="11">
        <f t="shared" si="20"/>
        <v>405.12025</v>
      </c>
      <c r="L47" s="11">
        <f t="shared" si="20"/>
        <v>574.4575000000001</v>
      </c>
      <c r="M47" s="11">
        <f t="shared" si="20"/>
        <v>461.56599999999997</v>
      </c>
      <c r="N47" s="11">
        <f t="shared" si="20"/>
        <v>687.34899999999993</v>
      </c>
      <c r="O47" s="6"/>
      <c r="P47" s="6"/>
    </row>
    <row r="49" spans="1:16">
      <c r="A49" s="5" t="s">
        <v>53</v>
      </c>
      <c r="C49" s="7" t="s">
        <v>3</v>
      </c>
      <c r="D49" s="7" t="s">
        <v>4</v>
      </c>
      <c r="E49" s="7" t="s">
        <v>5</v>
      </c>
      <c r="F49" s="7" t="s">
        <v>6</v>
      </c>
      <c r="G49" s="7" t="s">
        <v>7</v>
      </c>
      <c r="H49" s="7" t="s">
        <v>8</v>
      </c>
      <c r="I49" s="7" t="s">
        <v>9</v>
      </c>
      <c r="J49" s="7" t="s">
        <v>10</v>
      </c>
      <c r="K49" s="7" t="s">
        <v>11</v>
      </c>
      <c r="L49" s="7" t="s">
        <v>12</v>
      </c>
      <c r="M49" s="7" t="s">
        <v>13</v>
      </c>
      <c r="N49" s="7" t="s">
        <v>14</v>
      </c>
      <c r="O49" s="7" t="s">
        <v>15</v>
      </c>
      <c r="P49" s="7" t="s">
        <v>16</v>
      </c>
    </row>
    <row r="50" spans="1:16">
      <c r="A50" s="6" t="s">
        <v>54</v>
      </c>
      <c r="B50" s="6"/>
      <c r="C50" s="12">
        <v>10000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6"/>
      <c r="P50" s="6"/>
    </row>
    <row r="51" spans="1:16">
      <c r="A51" s="6" t="s">
        <v>55</v>
      </c>
      <c r="B51" s="6"/>
      <c r="C51" s="11">
        <f t="shared" ref="C51:N51" si="21">C18</f>
        <v>574.79999999999995</v>
      </c>
      <c r="D51" s="11">
        <f t="shared" si="21"/>
        <v>919.68</v>
      </c>
      <c r="E51" s="11">
        <f t="shared" si="21"/>
        <v>689.76</v>
      </c>
      <c r="F51" s="11">
        <f t="shared" si="21"/>
        <v>1034.6400000000001</v>
      </c>
      <c r="G51" s="11">
        <f t="shared" si="21"/>
        <v>689.76</v>
      </c>
      <c r="H51" s="11">
        <f t="shared" si="21"/>
        <v>919.68</v>
      </c>
      <c r="I51" s="11">
        <f t="shared" si="21"/>
        <v>459.84</v>
      </c>
      <c r="J51" s="11">
        <f t="shared" si="21"/>
        <v>804.72</v>
      </c>
      <c r="K51" s="11">
        <f t="shared" si="21"/>
        <v>804.72</v>
      </c>
      <c r="L51" s="11">
        <f t="shared" si="21"/>
        <v>1149.5999999999999</v>
      </c>
      <c r="M51" s="11">
        <f t="shared" si="21"/>
        <v>919.68</v>
      </c>
      <c r="N51" s="11">
        <f t="shared" si="21"/>
        <v>1379.52</v>
      </c>
      <c r="O51" s="6"/>
      <c r="P51" s="6"/>
    </row>
    <row r="52" spans="1:16">
      <c r="A52" s="6" t="s">
        <v>56</v>
      </c>
      <c r="B52" s="6"/>
      <c r="C52" s="11">
        <f>C47</f>
        <v>0</v>
      </c>
      <c r="D52" s="11">
        <f t="shared" ref="D52:N52" si="22">D47</f>
        <v>451.56599999999997</v>
      </c>
      <c r="E52" s="11">
        <f t="shared" si="22"/>
        <v>348.67449999999997</v>
      </c>
      <c r="F52" s="11">
        <f t="shared" si="22"/>
        <v>518.01175000000001</v>
      </c>
      <c r="G52" s="11">
        <f t="shared" si="22"/>
        <v>348.67449999999997</v>
      </c>
      <c r="H52" s="11">
        <f t="shared" si="22"/>
        <v>461.56599999999997</v>
      </c>
      <c r="I52" s="11">
        <f t="shared" si="22"/>
        <v>235.78299999999999</v>
      </c>
      <c r="J52" s="11">
        <f t="shared" si="22"/>
        <v>405.12025</v>
      </c>
      <c r="K52" s="11">
        <f t="shared" si="22"/>
        <v>405.12025</v>
      </c>
      <c r="L52" s="11">
        <f t="shared" si="22"/>
        <v>574.4575000000001</v>
      </c>
      <c r="M52" s="11">
        <f t="shared" si="22"/>
        <v>461.56599999999997</v>
      </c>
      <c r="N52" s="11">
        <f t="shared" si="22"/>
        <v>687.34899999999993</v>
      </c>
      <c r="O52" s="6"/>
      <c r="P52" s="6"/>
    </row>
    <row r="53" spans="1:16">
      <c r="A53" s="6" t="s">
        <v>57</v>
      </c>
      <c r="B53" s="6"/>
      <c r="C53" s="11">
        <f>C50+C51-C52</f>
        <v>10574.8</v>
      </c>
      <c r="D53" s="11">
        <f t="shared" ref="D53:N53" si="23">D50+D51-D52</f>
        <v>468.11399999999998</v>
      </c>
      <c r="E53" s="11">
        <f t="shared" si="23"/>
        <v>341.08550000000002</v>
      </c>
      <c r="F53" s="11">
        <f t="shared" si="23"/>
        <v>516.62825000000009</v>
      </c>
      <c r="G53" s="11">
        <f t="shared" si="23"/>
        <v>341.08550000000002</v>
      </c>
      <c r="H53" s="11">
        <f t="shared" si="23"/>
        <v>458.11399999999998</v>
      </c>
      <c r="I53" s="11">
        <f t="shared" si="23"/>
        <v>224.05699999999999</v>
      </c>
      <c r="J53" s="11">
        <f t="shared" si="23"/>
        <v>399.59975000000003</v>
      </c>
      <c r="K53" s="11">
        <f t="shared" si="23"/>
        <v>399.59975000000003</v>
      </c>
      <c r="L53" s="11">
        <f t="shared" si="23"/>
        <v>575.14249999999981</v>
      </c>
      <c r="M53" s="11">
        <f t="shared" si="23"/>
        <v>458.11399999999998</v>
      </c>
      <c r="N53" s="11">
        <f t="shared" si="23"/>
        <v>692.17100000000005</v>
      </c>
      <c r="O53" s="6"/>
      <c r="P53" s="11">
        <f>SUM(C53:N53)</f>
        <v>15448.511249999996</v>
      </c>
    </row>
    <row r="56" spans="1:16">
      <c r="A56" s="27" t="s">
        <v>58</v>
      </c>
      <c r="B56" s="27"/>
      <c r="C56" s="27"/>
      <c r="D56" s="27"/>
    </row>
    <row r="57" spans="1:16">
      <c r="A57" s="28" t="s">
        <v>59</v>
      </c>
      <c r="B57" s="29"/>
      <c r="C57" s="28" t="s">
        <v>60</v>
      </c>
      <c r="D57" s="29"/>
    </row>
    <row r="58" spans="1:16">
      <c r="A58" s="7" t="s">
        <v>61</v>
      </c>
      <c r="B58" s="12"/>
      <c r="C58" s="7" t="s">
        <v>62</v>
      </c>
      <c r="D58" s="12"/>
    </row>
    <row r="59" spans="1:16">
      <c r="A59" s="6" t="s">
        <v>63</v>
      </c>
      <c r="B59" s="12">
        <v>0</v>
      </c>
      <c r="C59" s="6" t="s">
        <v>64</v>
      </c>
      <c r="D59" s="12">
        <f>C50</f>
        <v>10000</v>
      </c>
    </row>
    <row r="60" spans="1:16">
      <c r="A60" s="6" t="s">
        <v>65</v>
      </c>
      <c r="B60" s="12">
        <v>0</v>
      </c>
      <c r="C60" s="6" t="s">
        <v>66</v>
      </c>
      <c r="D60" s="12">
        <v>0</v>
      </c>
    </row>
    <row r="61" spans="1:16">
      <c r="A61" s="6" t="s">
        <v>67</v>
      </c>
      <c r="B61" s="12">
        <v>0</v>
      </c>
      <c r="C61" s="6" t="s">
        <v>68</v>
      </c>
      <c r="D61" s="12">
        <f>B67- SUM(D58:D60)</f>
        <v>5983.6287499999962</v>
      </c>
    </row>
    <row r="62" spans="1:16">
      <c r="A62" s="7" t="s">
        <v>69</v>
      </c>
      <c r="B62" s="12"/>
      <c r="C62" s="7" t="s">
        <v>70</v>
      </c>
      <c r="D62" s="12"/>
    </row>
    <row r="63" spans="1:16">
      <c r="A63" s="6" t="s">
        <v>71</v>
      </c>
      <c r="B63" s="12">
        <v>0</v>
      </c>
      <c r="C63" s="6" t="s">
        <v>72</v>
      </c>
      <c r="D63" s="12">
        <v>0</v>
      </c>
    </row>
    <row r="64" spans="1:16">
      <c r="A64" s="6" t="s">
        <v>73</v>
      </c>
      <c r="B64" s="12">
        <v>0</v>
      </c>
      <c r="C64" s="6" t="s">
        <v>74</v>
      </c>
      <c r="D64" s="12">
        <v>0</v>
      </c>
    </row>
    <row r="65" spans="1:7">
      <c r="A65" s="6" t="s">
        <v>75</v>
      </c>
      <c r="B65" s="12">
        <f>P42</f>
        <v>535.11750000000006</v>
      </c>
      <c r="C65" s="6"/>
      <c r="D65" s="12"/>
    </row>
    <row r="66" spans="1:7">
      <c r="A66" s="6" t="s">
        <v>76</v>
      </c>
      <c r="B66" s="12">
        <f>P53</f>
        <v>15448.511249999996</v>
      </c>
      <c r="C66" s="6"/>
      <c r="D66" s="12"/>
    </row>
    <row r="67" spans="1:7">
      <c r="A67" s="7" t="s">
        <v>77</v>
      </c>
      <c r="B67" s="12">
        <f>SUM(B58:B66)</f>
        <v>15983.628749999996</v>
      </c>
      <c r="C67" s="7" t="s">
        <v>77</v>
      </c>
      <c r="D67" s="12">
        <f>SUM(D58:D66)</f>
        <v>15983.628749999996</v>
      </c>
      <c r="F67" t="s">
        <v>78</v>
      </c>
      <c r="G67" s="15">
        <f>B67-D67</f>
        <v>0</v>
      </c>
    </row>
    <row r="71" spans="1:7">
      <c r="A71" s="27" t="s">
        <v>79</v>
      </c>
      <c r="B71" s="27"/>
      <c r="C71" s="27"/>
      <c r="D71" s="27"/>
    </row>
    <row r="72" spans="1:7">
      <c r="A72" s="28" t="s">
        <v>80</v>
      </c>
      <c r="B72" s="29"/>
      <c r="C72" s="28" t="s">
        <v>81</v>
      </c>
      <c r="D72" s="29"/>
    </row>
    <row r="73" spans="1:7">
      <c r="A73" s="6" t="s">
        <v>82</v>
      </c>
      <c r="B73" s="11">
        <f>P30</f>
        <v>4545</v>
      </c>
      <c r="C73" s="6" t="s">
        <v>83</v>
      </c>
      <c r="D73" s="11">
        <f>SUM(C51:N51)</f>
        <v>10346.400000000001</v>
      </c>
    </row>
    <row r="74" spans="1:7">
      <c r="A74" s="6" t="s">
        <v>84</v>
      </c>
      <c r="B74" s="12">
        <f>0</f>
        <v>0</v>
      </c>
      <c r="C74" s="6"/>
      <c r="D74" s="12">
        <f>0</f>
        <v>0</v>
      </c>
    </row>
    <row r="75" spans="1:7">
      <c r="A75" s="6" t="s">
        <v>85</v>
      </c>
      <c r="B75" s="12">
        <v>0</v>
      </c>
      <c r="C75" s="6"/>
      <c r="D75" s="12">
        <v>0</v>
      </c>
    </row>
    <row r="76" spans="1:7">
      <c r="A76" s="6" t="s">
        <v>86</v>
      </c>
      <c r="B76" s="12">
        <v>0</v>
      </c>
      <c r="C76" s="6"/>
      <c r="D76" s="12">
        <v>0</v>
      </c>
    </row>
    <row r="77" spans="1:7">
      <c r="A77" s="6" t="s">
        <v>87</v>
      </c>
      <c r="B77" s="12">
        <v>0</v>
      </c>
      <c r="C77" s="6"/>
      <c r="D77" s="12">
        <v>0</v>
      </c>
    </row>
    <row r="78" spans="1:7">
      <c r="A78" s="6" t="s">
        <v>88</v>
      </c>
      <c r="B78" s="12">
        <f>D79-SUM(B73:B77)</f>
        <v>5801.4000000000015</v>
      </c>
      <c r="C78" s="6" t="s">
        <v>89</v>
      </c>
      <c r="D78" s="12">
        <v>0</v>
      </c>
    </row>
    <row r="79" spans="1:7">
      <c r="A79" s="7" t="s">
        <v>77</v>
      </c>
      <c r="B79" s="12">
        <f>SUM(B73:B78)</f>
        <v>10346.400000000001</v>
      </c>
      <c r="C79" s="14" t="s">
        <v>77</v>
      </c>
      <c r="D79" s="12">
        <f>SUM(D73:D76)</f>
        <v>10346.400000000001</v>
      </c>
      <c r="F79" t="s">
        <v>78</v>
      </c>
      <c r="G79" s="15">
        <f>B79-D79</f>
        <v>0</v>
      </c>
    </row>
  </sheetData>
  <mergeCells count="6">
    <mergeCell ref="A71:D71"/>
    <mergeCell ref="A72:B72"/>
    <mergeCell ref="C72:D72"/>
    <mergeCell ref="A56:D56"/>
    <mergeCell ref="A57:B57"/>
    <mergeCell ref="C57:D57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Léonore ROCCA</dc:creator>
  <cp:keywords/>
  <dc:description/>
  <cp:lastModifiedBy/>
  <cp:revision/>
  <dcterms:created xsi:type="dcterms:W3CDTF">2025-02-03T10:47:29Z</dcterms:created>
  <dcterms:modified xsi:type="dcterms:W3CDTF">2026-06-14T15:55:40Z</dcterms:modified>
  <cp:category/>
  <cp:contentStatus/>
</cp:coreProperties>
</file>